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C1601CC0-DD8A-5549-B909-ADF44B25F7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ote Calculator" sheetId="1" r:id="rId1"/>
    <sheet name="Annual Overhead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5" i="1"/>
  <c r="B18" i="2"/>
  <c r="D3" i="1"/>
  <c r="F3" i="1"/>
  <c r="D4" i="1"/>
  <c r="F4" i="1"/>
  <c r="D5" i="1"/>
  <c r="F5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B41" i="1"/>
  <c r="D27" i="1"/>
  <c r="D28" i="1"/>
  <c r="D29" i="1"/>
  <c r="D30" i="1"/>
  <c r="D31" i="1"/>
  <c r="D32" i="1"/>
  <c r="D33" i="1"/>
  <c r="D34" i="1"/>
  <c r="D35" i="1"/>
  <c r="D36" i="1"/>
  <c r="B42" i="1"/>
  <c r="B50" i="1"/>
  <c r="B51" i="1"/>
  <c r="B52" i="1"/>
  <c r="B53" i="1"/>
</calcChain>
</file>

<file path=xl/sharedStrings.xml><?xml version="1.0" encoding="utf-8"?>
<sst xmlns="http://schemas.openxmlformats.org/spreadsheetml/2006/main" count="53" uniqueCount="52">
  <si>
    <t>Materials</t>
  </si>
  <si>
    <t>Description</t>
  </si>
  <si>
    <t>Qty</t>
  </si>
  <si>
    <t>Unit Cost</t>
  </si>
  <si>
    <t>Cost Total</t>
  </si>
  <si>
    <t>Markup %</t>
  </si>
  <si>
    <t>Sell Total</t>
  </si>
  <si>
    <t>Labour</t>
  </si>
  <si>
    <t>Task</t>
  </si>
  <si>
    <t>Hours</t>
  </si>
  <si>
    <t>Charge-out Rate</t>
  </si>
  <si>
    <t>Total</t>
  </si>
  <si>
    <t>Summary</t>
  </si>
  <si>
    <t>Materials Sell</t>
  </si>
  <si>
    <t>Subcontractors</t>
  </si>
  <si>
    <t>Equipment</t>
  </si>
  <si>
    <t>Consumables</t>
  </si>
  <si>
    <t>Travel</t>
  </si>
  <si>
    <t>Overheads</t>
  </si>
  <si>
    <t>Contingency %</t>
  </si>
  <si>
    <t>Profit %</t>
  </si>
  <si>
    <t>Subtotal</t>
  </si>
  <si>
    <t>Profit</t>
  </si>
  <si>
    <t>GST</t>
  </si>
  <si>
    <t>Final Quote</t>
  </si>
  <si>
    <t>Expense</t>
  </si>
  <si>
    <t>Annual Cost</t>
  </si>
  <si>
    <t>Insurance</t>
  </si>
  <si>
    <t>Vehicle</t>
  </si>
  <si>
    <t>Fuel</t>
  </si>
  <si>
    <t>Registration</t>
  </si>
  <si>
    <t>Repairs</t>
  </si>
  <si>
    <t>Phone</t>
  </si>
  <si>
    <t>Internet</t>
  </si>
  <si>
    <t>Software</t>
  </si>
  <si>
    <t>Accountant</t>
  </si>
  <si>
    <t>Advertising</t>
  </si>
  <si>
    <t>Tools</t>
  </si>
  <si>
    <t>PPE</t>
  </si>
  <si>
    <t>Bank Fees</t>
  </si>
  <si>
    <t>Rent</t>
  </si>
  <si>
    <t>Other</t>
  </si>
  <si>
    <t>Billable Hours/Year</t>
  </si>
  <si>
    <t xml:space="preserve">steel studs </t>
  </si>
  <si>
    <t xml:space="preserve">top and bottom track </t>
  </si>
  <si>
    <t xml:space="preserve">plaster board </t>
  </si>
  <si>
    <t xml:space="preserve">plaster screws </t>
  </si>
  <si>
    <t xml:space="preserve">stud adhesive </t>
  </si>
  <si>
    <t xml:space="preserve">aliminum skirt </t>
  </si>
  <si>
    <t xml:space="preserve">assembly </t>
  </si>
  <si>
    <t xml:space="preserve">taxable amount </t>
  </si>
  <si>
    <t>tax at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</si>
</sst>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8" workbookViewId="0">
      <selection activeCell="D67" sqref="D67"/>
    </sheetView>
  </sheetViews>
  <sheetFormatPr defaultRowHeight="15" x14ac:dyDescent="0.2"/>
  <cols>
    <col min="1" max="1" width="21.5234375" customWidth="1"/>
    <col min="2" max="2" width="9.2812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t="s">
        <v>43</v>
      </c>
      <c r="B3">
        <v>8</v>
      </c>
      <c r="C3">
        <v>13.13</v>
      </c>
      <c r="D3">
        <f>B3*C3</f>
        <v>105.04</v>
      </c>
      <c r="F3">
        <f>D3*(1+E3)</f>
        <v>105.04</v>
      </c>
    </row>
    <row r="4" spans="1:6" x14ac:dyDescent="0.2">
      <c r="A4" t="s">
        <v>44</v>
      </c>
      <c r="B4">
        <v>2</v>
      </c>
      <c r="C4">
        <v>19.440000000000001</v>
      </c>
      <c r="D4">
        <f>B4*C4</f>
        <v>38.880000000000003</v>
      </c>
      <c r="F4">
        <f>D4*(1+E4)</f>
        <v>38.880000000000003</v>
      </c>
    </row>
    <row r="5" spans="1:6" x14ac:dyDescent="0.2">
      <c r="A5" t="s">
        <v>45</v>
      </c>
      <c r="B5">
        <v>4</v>
      </c>
      <c r="C5">
        <v>26.73</v>
      </c>
      <c r="D5">
        <f>B5*C5</f>
        <v>106.92</v>
      </c>
      <c r="F5">
        <f>D5*(1+E5)</f>
        <v>106.92</v>
      </c>
    </row>
    <row r="6" spans="1:6" x14ac:dyDescent="0.2">
      <c r="A6" t="s">
        <v>46</v>
      </c>
      <c r="B6">
        <v>1</v>
      </c>
      <c r="C6">
        <v>27.12</v>
      </c>
      <c r="D6">
        <f>B6*C6</f>
        <v>27.12</v>
      </c>
      <c r="F6">
        <f>D6*(1+E6)</f>
        <v>27.12</v>
      </c>
    </row>
    <row r="7" spans="1:6" x14ac:dyDescent="0.2">
      <c r="A7" t="s">
        <v>47</v>
      </c>
      <c r="B7">
        <v>1</v>
      </c>
      <c r="C7">
        <v>18.850000000000001</v>
      </c>
      <c r="D7">
        <f>B7*C7</f>
        <v>18.850000000000001</v>
      </c>
      <c r="F7">
        <f>D7*(1+E7)</f>
        <v>18.850000000000001</v>
      </c>
    </row>
    <row r="8" spans="1:6" x14ac:dyDescent="0.2">
      <c r="A8" t="s">
        <v>48</v>
      </c>
      <c r="B8">
        <v>2</v>
      </c>
      <c r="C8">
        <v>28.07</v>
      </c>
      <c r="D8">
        <f>B8*C8</f>
        <v>56.14</v>
      </c>
      <c r="F8">
        <f>D8*(1+E8)</f>
        <v>56.14</v>
      </c>
    </row>
    <row r="9" spans="1:6" x14ac:dyDescent="0.2">
      <c r="D9">
        <f>B9*C9</f>
        <v>0</v>
      </c>
      <c r="F9">
        <f>D9*(1+E9)</f>
        <v>0</v>
      </c>
    </row>
    <row r="10" spans="1:6" x14ac:dyDescent="0.2">
      <c r="D10">
        <f>B10*C10</f>
        <v>0</v>
      </c>
      <c r="F10">
        <f>D10*(1+E10)</f>
        <v>0</v>
      </c>
    </row>
    <row r="11" spans="1:6" x14ac:dyDescent="0.2">
      <c r="D11">
        <f>B11*C11</f>
        <v>0</v>
      </c>
      <c r="F11">
        <f>D11*(1+E11)</f>
        <v>0</v>
      </c>
    </row>
    <row r="12" spans="1:6" x14ac:dyDescent="0.2">
      <c r="D12">
        <f>B12*C12</f>
        <v>0</v>
      </c>
      <c r="F12">
        <f>D12*(1+E12)</f>
        <v>0</v>
      </c>
    </row>
    <row r="13" spans="1:6" x14ac:dyDescent="0.2">
      <c r="D13">
        <f>B13*C13</f>
        <v>0</v>
      </c>
      <c r="F13">
        <f>D13*(1+E13)</f>
        <v>0</v>
      </c>
    </row>
    <row r="14" spans="1:6" x14ac:dyDescent="0.2">
      <c r="D14">
        <f>B14*C14</f>
        <v>0</v>
      </c>
      <c r="F14">
        <f>D14*(1+E14)</f>
        <v>0</v>
      </c>
    </row>
    <row r="15" spans="1:6" x14ac:dyDescent="0.2">
      <c r="D15">
        <f>B15*C15</f>
        <v>0</v>
      </c>
      <c r="F15">
        <f>D15*(1+E15)</f>
        <v>0</v>
      </c>
    </row>
    <row r="16" spans="1:6" x14ac:dyDescent="0.2">
      <c r="D16">
        <f>B16*C16</f>
        <v>0</v>
      </c>
      <c r="F16">
        <f>D16*(1+E16)</f>
        <v>0</v>
      </c>
    </row>
    <row r="17" spans="1:6" x14ac:dyDescent="0.2">
      <c r="D17">
        <f>B17*C17</f>
        <v>0</v>
      </c>
      <c r="F17">
        <f>D17*(1+E17)</f>
        <v>0</v>
      </c>
    </row>
    <row r="18" spans="1:6" x14ac:dyDescent="0.2">
      <c r="D18">
        <f>B18*C18</f>
        <v>0</v>
      </c>
      <c r="F18">
        <f>D18*(1+E18)</f>
        <v>0</v>
      </c>
    </row>
    <row r="19" spans="1:6" x14ac:dyDescent="0.2">
      <c r="D19">
        <f>B19*C19</f>
        <v>0</v>
      </c>
      <c r="F19">
        <f>D19*(1+E19)</f>
        <v>0</v>
      </c>
    </row>
    <row r="20" spans="1:6" x14ac:dyDescent="0.2">
      <c r="D20">
        <f>B20*C20</f>
        <v>0</v>
      </c>
      <c r="F20">
        <f>D20*(1+E20)</f>
        <v>0</v>
      </c>
    </row>
    <row r="21" spans="1:6" x14ac:dyDescent="0.2">
      <c r="D21">
        <f>B21*C21</f>
        <v>0</v>
      </c>
      <c r="F21">
        <f>D21*(1+E21)</f>
        <v>0</v>
      </c>
    </row>
    <row r="22" spans="1:6" x14ac:dyDescent="0.2">
      <c r="D22">
        <f>B22*C22</f>
        <v>0</v>
      </c>
      <c r="F22">
        <f>D22*(1+E22)</f>
        <v>0</v>
      </c>
    </row>
    <row r="25" spans="1:6" x14ac:dyDescent="0.2">
      <c r="A25" s="2" t="s">
        <v>7</v>
      </c>
      <c r="B25" s="2"/>
      <c r="C25" s="2"/>
      <c r="D25" s="2"/>
      <c r="E25" s="2"/>
      <c r="F25" s="2"/>
    </row>
    <row r="26" spans="1:6" x14ac:dyDescent="0.2">
      <c r="A26" t="s">
        <v>8</v>
      </c>
      <c r="B26" t="s">
        <v>9</v>
      </c>
      <c r="C26" t="s">
        <v>10</v>
      </c>
      <c r="D26" t="s">
        <v>11</v>
      </c>
    </row>
    <row r="27" spans="1:6" x14ac:dyDescent="0.2">
      <c r="A27" t="s">
        <v>49</v>
      </c>
      <c r="B27">
        <v>8</v>
      </c>
      <c r="C27">
        <v>110</v>
      </c>
      <c r="D27">
        <f>B27*C27</f>
        <v>880</v>
      </c>
    </row>
    <row r="28" spans="1:6" x14ac:dyDescent="0.2">
      <c r="D28">
        <f>B28*C28</f>
        <v>0</v>
      </c>
    </row>
    <row r="29" spans="1:6" x14ac:dyDescent="0.2">
      <c r="D29">
        <f>B29*C29</f>
        <v>0</v>
      </c>
    </row>
    <row r="30" spans="1:6" x14ac:dyDescent="0.2">
      <c r="D30">
        <f>B30*C30</f>
        <v>0</v>
      </c>
    </row>
    <row r="31" spans="1:6" x14ac:dyDescent="0.2">
      <c r="D31">
        <f>B31*C31</f>
        <v>0</v>
      </c>
    </row>
    <row r="32" spans="1:6" x14ac:dyDescent="0.2">
      <c r="D32">
        <f>B32*C32</f>
        <v>0</v>
      </c>
    </row>
    <row r="33" spans="1:6" x14ac:dyDescent="0.2">
      <c r="D33">
        <f>B33*C33</f>
        <v>0</v>
      </c>
    </row>
    <row r="34" spans="1:6" x14ac:dyDescent="0.2">
      <c r="D34">
        <f>B34*C34</f>
        <v>0</v>
      </c>
    </row>
    <row r="35" spans="1:6" x14ac:dyDescent="0.2">
      <c r="D35">
        <f>B35*C35</f>
        <v>0</v>
      </c>
    </row>
    <row r="36" spans="1:6" x14ac:dyDescent="0.2">
      <c r="D36">
        <f>B36*C36</f>
        <v>0</v>
      </c>
    </row>
    <row r="40" spans="1:6" x14ac:dyDescent="0.2">
      <c r="A40" s="2" t="s">
        <v>12</v>
      </c>
      <c r="B40" s="2"/>
      <c r="C40" s="2"/>
      <c r="D40" s="2"/>
      <c r="E40" s="2"/>
      <c r="F40" s="2"/>
    </row>
    <row r="41" spans="1:6" x14ac:dyDescent="0.2">
      <c r="A41" t="s">
        <v>13</v>
      </c>
      <c r="B41">
        <f>SUM(F3:F22)</f>
        <v>352.95000000000005</v>
      </c>
    </row>
    <row r="42" spans="1:6" x14ac:dyDescent="0.2">
      <c r="A42" t="s">
        <v>7</v>
      </c>
      <c r="B42">
        <f>SUM(D27:D36)</f>
        <v>880</v>
      </c>
    </row>
    <row r="43" spans="1:6" x14ac:dyDescent="0.2">
      <c r="A43" t="s">
        <v>14</v>
      </c>
      <c r="B43">
        <v>0</v>
      </c>
    </row>
    <row r="44" spans="1:6" x14ac:dyDescent="0.2">
      <c r="A44" t="s">
        <v>15</v>
      </c>
      <c r="B44">
        <v>0</v>
      </c>
    </row>
    <row r="45" spans="1:6" x14ac:dyDescent="0.2">
      <c r="A45" t="s">
        <v>16</v>
      </c>
      <c r="B45">
        <v>0</v>
      </c>
    </row>
    <row r="46" spans="1:6" x14ac:dyDescent="0.2">
      <c r="A46" t="s">
        <v>17</v>
      </c>
      <c r="B46">
        <v>0</v>
      </c>
    </row>
    <row r="47" spans="1:6" x14ac:dyDescent="0.2">
      <c r="A47" t="s">
        <v>18</v>
      </c>
      <c r="B47">
        <v>0</v>
      </c>
    </row>
    <row r="48" spans="1:6" x14ac:dyDescent="0.2">
      <c r="A48" t="s">
        <v>19</v>
      </c>
      <c r="B48">
        <v>0.05</v>
      </c>
    </row>
    <row r="49" spans="1:2" x14ac:dyDescent="0.2">
      <c r="A49" t="s">
        <v>20</v>
      </c>
      <c r="B49">
        <v>0.3</v>
      </c>
    </row>
    <row r="50" spans="1:2" x14ac:dyDescent="0.2">
      <c r="A50" t="s">
        <v>21</v>
      </c>
      <c r="B50">
        <f>SUM(B41:B47)*(1+B48)</f>
        <v>1294.5975000000001</v>
      </c>
    </row>
    <row r="51" spans="1:2" x14ac:dyDescent="0.2">
      <c r="A51" t="s">
        <v>22</v>
      </c>
      <c r="B51">
        <f>B50*B49</f>
        <v>388.37925000000001</v>
      </c>
    </row>
    <row r="52" spans="1:2" x14ac:dyDescent="0.2">
      <c r="A52" t="s">
        <v>23</v>
      </c>
      <c r="B52">
        <f>(B50+B51)*0.1</f>
        <v>168.29767500000003</v>
      </c>
    </row>
    <row r="53" spans="1:2" x14ac:dyDescent="0.2">
      <c r="A53" t="s">
        <v>24</v>
      </c>
      <c r="B53">
        <f>B50+B51+B52</f>
        <v>1851.2744250000001</v>
      </c>
    </row>
    <row r="55" spans="1:2" x14ac:dyDescent="0.2">
      <c r="A55" t="s">
        <v>50</v>
      </c>
      <c r="B55">
        <f>(B50-B41)</f>
        <v>941.64750000000004</v>
      </c>
    </row>
    <row r="56" spans="1:2" x14ac:dyDescent="0.2">
      <c r="A56" t="s">
        <v>51</v>
      </c>
      <c r="B56">
        <f>B55 * 0.36</f>
        <v>338.99310000000003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E32" sqref="E32"/>
    </sheetView>
  </sheetViews>
  <sheetFormatPr defaultRowHeight="15" x14ac:dyDescent="0.2"/>
  <sheetData>
    <row r="1" spans="1:2" x14ac:dyDescent="0.2">
      <c r="A1" t="s">
        <v>25</v>
      </c>
      <c r="B1" t="s">
        <v>26</v>
      </c>
    </row>
    <row r="2" spans="1:2" x14ac:dyDescent="0.2">
      <c r="A2" t="s">
        <v>27</v>
      </c>
      <c r="B2">
        <v>1600</v>
      </c>
    </row>
    <row r="3" spans="1:2" x14ac:dyDescent="0.2">
      <c r="A3" t="s">
        <v>28</v>
      </c>
      <c r="B3">
        <v>12000</v>
      </c>
    </row>
    <row r="4" spans="1:2" x14ac:dyDescent="0.2">
      <c r="A4" t="s">
        <v>29</v>
      </c>
      <c r="B4">
        <v>9200</v>
      </c>
    </row>
    <row r="5" spans="1:2" x14ac:dyDescent="0.2">
      <c r="A5" t="s">
        <v>30</v>
      </c>
      <c r="B5">
        <v>1000</v>
      </c>
    </row>
    <row r="6" spans="1:2" x14ac:dyDescent="0.2">
      <c r="A6" t="s">
        <v>31</v>
      </c>
      <c r="B6">
        <v>3200</v>
      </c>
    </row>
    <row r="7" spans="1:2" x14ac:dyDescent="0.2">
      <c r="A7" t="s">
        <v>32</v>
      </c>
      <c r="B7">
        <v>450</v>
      </c>
    </row>
    <row r="8" spans="1:2" x14ac:dyDescent="0.2">
      <c r="A8" t="s">
        <v>33</v>
      </c>
      <c r="B8">
        <v>0</v>
      </c>
    </row>
    <row r="9" spans="1:2" x14ac:dyDescent="0.2">
      <c r="A9" t="s">
        <v>34</v>
      </c>
      <c r="B9">
        <v>300</v>
      </c>
    </row>
    <row r="10" spans="1:2" x14ac:dyDescent="0.2">
      <c r="A10" t="s">
        <v>35</v>
      </c>
      <c r="B10">
        <v>500</v>
      </c>
    </row>
    <row r="11" spans="1:2" x14ac:dyDescent="0.2">
      <c r="A11" t="s">
        <v>36</v>
      </c>
      <c r="B11">
        <v>0</v>
      </c>
    </row>
    <row r="12" spans="1:2" x14ac:dyDescent="0.2">
      <c r="A12" t="s">
        <v>37</v>
      </c>
      <c r="B12">
        <v>8000</v>
      </c>
    </row>
    <row r="13" spans="1:2" x14ac:dyDescent="0.2">
      <c r="A13" t="s">
        <v>38</v>
      </c>
      <c r="B13">
        <v>1000</v>
      </c>
    </row>
    <row r="14" spans="1:2" x14ac:dyDescent="0.2">
      <c r="A14" t="s">
        <v>39</v>
      </c>
      <c r="B14">
        <v>150</v>
      </c>
    </row>
    <row r="15" spans="1:2" x14ac:dyDescent="0.2">
      <c r="A15" t="s">
        <v>40</v>
      </c>
      <c r="B15">
        <v>0</v>
      </c>
    </row>
    <row r="16" spans="1:2" x14ac:dyDescent="0.2">
      <c r="A16" t="s">
        <v>41</v>
      </c>
      <c r="B16">
        <v>0</v>
      </c>
    </row>
    <row r="17" spans="1:2" x14ac:dyDescent="0.2">
      <c r="A17" t="s">
        <v>42</v>
      </c>
      <c r="B17">
        <v>1600</v>
      </c>
    </row>
    <row r="18" spans="1:2" x14ac:dyDescent="0.2">
      <c r="B18">
        <f>SUM(B2:B15)/B17</f>
        <v>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 Calculator</vt:lpstr>
      <vt:lpstr>Annual Overheads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2026-07-16T23:15:46Z</dcterms:created>
  <dcterms:modified xsi:type="dcterms:W3CDTF">2026-07-16T23:15:46Z</dcterms:modified>
</cp:coreProperties>
</file>